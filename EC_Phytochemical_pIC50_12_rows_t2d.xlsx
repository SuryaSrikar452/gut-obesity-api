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zyme-Phytochemical-pIC50" sheetId="1" state="visible" r:id="rId3"/>
    <sheet name="Notes" sheetId="2" state="visible" r:id="rId4"/>
  </sheets>
  <definedNames>
    <definedName function="false" hidden="true" localSheetId="0" name="_xlnm._FilterDatabase" vbProcedure="false">'Enzyme-Phytochemical-pIC50'!$A$1:$G$13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<sst xmlns="http://schemas.openxmlformats.org/spreadsheetml/2006/main" count="75" uniqueCount="54">
  <si>
    <t xml:space="preserve">EC No</t>
  </si>
  <si>
    <t xml:space="preserve">Enzyme Name</t>
  </si>
  <si>
    <t xml:space="preserve">Phytochemical</t>
  </si>
  <si>
    <t xml:space="preserve">Plant</t>
  </si>
  <si>
    <t xml:space="preserve">Plant Part</t>
  </si>
  <si>
    <t xml:space="preserve">pIC50</t>
  </si>
  <si>
    <t xml:space="preserve">IC50 (nM)</t>
  </si>
  <si>
    <t xml:space="preserve">1.1.1.267</t>
  </si>
  <si>
    <t xml:space="preserve">1-deoxy-D-xylulose-5-phosphate reductoisomerase</t>
  </si>
  <si>
    <t xml:space="preserve">Baicalein</t>
  </si>
  <si>
    <t xml:space="preserve">Oroxylum indicum</t>
  </si>
  <si>
    <t xml:space="preserve">Oroxylum indicum: bark, leaf, root, seed, stem</t>
  </si>
  <si>
    <t xml:space="preserve">Epigallocatechin gallate</t>
  </si>
  <si>
    <t xml:space="preserve">Moringa oleifera, Phyllanthus emblica</t>
  </si>
  <si>
    <t xml:space="preserve">Moringa oleifera: leaf; Phyllanthus emblica: root</t>
  </si>
  <si>
    <t xml:space="preserve">Fisetin</t>
  </si>
  <si>
    <t xml:space="preserve">Mangifera indica</t>
  </si>
  <si>
    <t xml:space="preserve">Mangifera indica: flower</t>
  </si>
  <si>
    <t xml:space="preserve">Luteolin</t>
  </si>
  <si>
    <t xml:space="preserve">Momordica charantia, Moringa oleifera, Trigonella foenum-graecum</t>
  </si>
  <si>
    <t xml:space="preserve">Momordica charantia: fruit, leaf, plant cells/culture, seed; Moringa oleifera: leaf; Trigonella foenum-graecum: leaf, seed, stem</t>
  </si>
  <si>
    <t xml:space="preserve">Myricetin</t>
  </si>
  <si>
    <t xml:space="preserve">Allium cepa, Azadirachta indica, Mangifera indica, Moringa oleifera, Syzygium cumini</t>
  </si>
  <si>
    <t xml:space="preserve">Allium cepa: bulb, whole plant; Azadirachta indica: flower; Mangifera indica: fruit; Moringa oleifera: leaf; Syzygium cumini: bark, flower, root</t>
  </si>
  <si>
    <t xml:space="preserve">Quercetin</t>
  </si>
  <si>
    <t xml:space="preserve">Allium cepa, Allium sativum, Azadirachta indica, Cassia fistula, Catharanthus roseus, Coccinia grandis, Hemidesmus indicus, Mangifera indica, Momordica charantia, Moringa oleifera, Phyllanthus emblica, Psidium guajava, Syzygium cumini, Trigonella foenum-graecum</t>
  </si>
  <si>
    <t xml:space="preserve">Allium cepa: bulb, whole plant; Allium sativum: bulb; Azadirachta indica: flower, leaf; Cassia fistula: leaf; Catharanthus roseus: flower, leaf, root, seed, stem; Coccinia grandis: Not specified; Hemidesmus indicus: flower, leaf, root; Mangifera indica: leaf; Momordica charantia: fruit, plant cells/culture, seed; Moringa oleifera: flower, fruit; Phyllanthus emblica: fruit; Psidium guajava: flower, leaf, root, whole plant; Syzygium cumini: bark, flower, root, seed; Trigonella foenum-graecum: leaf, seed, stem</t>
  </si>
  <si>
    <t xml:space="preserve">1.4.1.4</t>
  </si>
  <si>
    <t xml:space="preserve">glutamate dehydrogenase (NADP+)</t>
  </si>
  <si>
    <t xml:space="preserve">2.7.13.3</t>
  </si>
  <si>
    <t xml:space="preserve">histidine kinase</t>
  </si>
  <si>
    <t xml:space="preserve">3.5.2.6</t>
  </si>
  <si>
    <t xml:space="preserve">beta-lactamase</t>
  </si>
  <si>
    <t xml:space="preserve">Benzyl benzoate</t>
  </si>
  <si>
    <t xml:space="preserve">Hemidesmus indicus, Psidium guajava, Zingiber officinale</t>
  </si>
  <si>
    <t xml:space="preserve">Hemidesmus indicus: root; Psidium guajava: leaf; Zingiber officinale: rhizome</t>
  </si>
  <si>
    <t xml:space="preserve">4.2.2.1</t>
  </si>
  <si>
    <t xml:space="preserve">hyaluronate lyase</t>
  </si>
  <si>
    <t xml:space="preserve">Ascorbic acid</t>
  </si>
  <si>
    <t xml:space="preserve">Aegle marmelos, Allium cepa, Allium sativum, Coccinia grandis, Curcuma longa, Gymnema sylvestre, Mangifera indica, Momordica charantia, Moringa oleifera, Musa paradisiaca, Phyllanthus emblica, Psidium guajava, Syzygium cumini, Trigonella foenum-graecum, Zingiber officinale</t>
  </si>
  <si>
    <t xml:space="preserve">Aegle marmelos: Not specified; Allium cepa: Not specified; Allium sativum: bulb; Coccinia grandis: Not specified; Curcuma longa: Not specified; Gymnema sylvestre: Not specified; Mangifera indica: fruit; Momordica charantia: leaf; Moringa oleifera: leaf; Musa paradisiaca: fruit; Phyllanthus emblica: fruit, leaf, seed; Psidium guajava: flower, fruit, leaf; Syzygium cumini: Not specified; Trigonella foenum-graecum: leaf; Zingiber officinale: Not specified</t>
  </si>
  <si>
    <t xml:space="preserve">6.5.1.2</t>
  </si>
  <si>
    <t xml:space="preserve">DNA ligase (NAD+)</t>
  </si>
  <si>
    <t xml:space="preserve">Glutathione</t>
  </si>
  <si>
    <t xml:space="preserve">Allium cepa, Ficus benghalensis</t>
  </si>
  <si>
    <t xml:space="preserve">Allium cepa: Not specified; Ficus benghalensis: fruit</t>
  </si>
  <si>
    <t xml:space="preserve">Notes</t>
  </si>
  <si>
    <t xml:space="preserve">pIC50 = 9 - log10(IC50 in nM), i.e. -log10(IC50 in M); live formula in column F using column G.</t>
  </si>
  <si>
    <t xml:space="preserve">Sources: ic50_matches_long.csv, _(1).csv, _(2).csv (merged; exact duplicates removed). Plant/part from IMPPAT_with_SMILES.xlsx.</t>
  </si>
  <si>
    <t xml:space="preserve">Each row = one enzyme x phytochemical pair. Plant column lists all producing plants (comma-separated); Plant Part column gives each plant followed by its parts (plant: part1, part2; next plant: ...), so the plant-to-part mapping is kept. The pIC50 is per enzyme-phytochemical pair, so it repeats across plants.</t>
  </si>
  <si>
    <t xml:space="preserve">Plant Part "Not specified" = IMPPAT lists the plant for the compound but no part is recorded; omitted when other parts are listed for that plant.</t>
  </si>
  <si>
    <t xml:space="preserve">EC 2.7.13.3: the source "enzyme definition" was a long list of two-component-system kinases; shortened to the EC accepted name, histidine kinase (ChEMBL target: Chemotaxis protein CheA).</t>
  </si>
  <si>
    <t xml:space="preserve">EC 1.4.1.4 / EGCG (202 nM) is a name_loose match from BRENDA - lower confidence than the other matches.</t>
  </si>
  <si>
    <t xml:space="preserve">Targets are mostly bacterial enzymes (e.g. E. coli, S. pneumoniae), per the source files.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</si>
</sst>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8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90"/>
    <col collapsed="false" customWidth="true" hidden="false" outlineLevel="0" max="6" min="6" style="0" width="9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4" t="n">
        <f aca="false">ROUND(9-LOG10(G2),2)</f>
        <v>5.66</v>
      </c>
      <c r="G2" s="5" t="n">
        <v>2200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12</v>
      </c>
      <c r="D3" s="3" t="s">
        <v>13</v>
      </c>
      <c r="E3" s="3" t="s">
        <v>14</v>
      </c>
      <c r="F3" s="4" t="n">
        <f aca="false">ROUND(9-LOG10(G3),2)</f>
        <v>3.68</v>
      </c>
      <c r="G3" s="5" t="n">
        <v>209800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15</v>
      </c>
      <c r="D4" s="3" t="s">
        <v>16</v>
      </c>
      <c r="E4" s="3" t="s">
        <v>17</v>
      </c>
      <c r="F4" s="4" t="n">
        <f aca="false">ROUND(9-LOG10(G4),2)</f>
        <v>5.46</v>
      </c>
      <c r="G4" s="5" t="n">
        <v>3500</v>
      </c>
    </row>
    <row r="5" customFormat="false" ht="23.85" hidden="false" customHeight="false" outlineLevel="0" collapsed="false">
      <c r="A5" s="2" t="s">
        <v>7</v>
      </c>
      <c r="B5" s="2" t="s">
        <v>8</v>
      </c>
      <c r="C5" s="2" t="s">
        <v>18</v>
      </c>
      <c r="D5" s="3" t="s">
        <v>19</v>
      </c>
      <c r="E5" s="3" t="s">
        <v>20</v>
      </c>
      <c r="F5" s="4" t="n">
        <f aca="false">ROUND(9-LOG10(G5),2)</f>
        <v>5.47</v>
      </c>
      <c r="G5" s="5" t="n">
        <v>3400</v>
      </c>
    </row>
    <row r="6" customFormat="false" ht="23.85" hidden="false" customHeight="false" outlineLevel="0" collapsed="false">
      <c r="A6" s="2" t="s">
        <v>7</v>
      </c>
      <c r="B6" s="2" t="s">
        <v>8</v>
      </c>
      <c r="C6" s="2" t="s">
        <v>21</v>
      </c>
      <c r="D6" s="3" t="s">
        <v>22</v>
      </c>
      <c r="E6" s="3" t="s">
        <v>23</v>
      </c>
      <c r="F6" s="4" t="n">
        <f aca="false">ROUND(9-LOG10(G6),2)</f>
        <v>5.82</v>
      </c>
      <c r="G6" s="5" t="n">
        <v>1500</v>
      </c>
    </row>
    <row r="7" customFormat="false" ht="57.45" hidden="false" customHeight="false" outlineLevel="0" collapsed="false">
      <c r="A7" s="2" t="s">
        <v>7</v>
      </c>
      <c r="B7" s="2" t="s">
        <v>8</v>
      </c>
      <c r="C7" s="2" t="s">
        <v>24</v>
      </c>
      <c r="D7" s="3" t="s">
        <v>25</v>
      </c>
      <c r="E7" s="3" t="s">
        <v>26</v>
      </c>
      <c r="F7" s="4" t="n">
        <f aca="false">ROUND(9-LOG10(G7),2)</f>
        <v>5.72</v>
      </c>
      <c r="G7" s="5" t="n">
        <v>1900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12</v>
      </c>
      <c r="D8" s="3" t="s">
        <v>13</v>
      </c>
      <c r="E8" s="3" t="s">
        <v>14</v>
      </c>
      <c r="F8" s="4" t="n">
        <f aca="false">ROUND(9-LOG10(G8),2)</f>
        <v>6.69</v>
      </c>
      <c r="G8" s="5" t="n">
        <v>202</v>
      </c>
    </row>
    <row r="9" customFormat="false" ht="23.85" hidden="false" customHeight="false" outlineLevel="0" collapsed="false">
      <c r="A9" s="2" t="s">
        <v>29</v>
      </c>
      <c r="B9" s="2" t="s">
        <v>30</v>
      </c>
      <c r="C9" s="2" t="s">
        <v>18</v>
      </c>
      <c r="D9" s="3" t="s">
        <v>19</v>
      </c>
      <c r="E9" s="3" t="s">
        <v>20</v>
      </c>
      <c r="F9" s="4" t="n">
        <f aca="false">ROUND(9-LOG10(G9),2)</f>
        <v>3.95</v>
      </c>
      <c r="G9" s="5" t="n">
        <v>111000</v>
      </c>
    </row>
    <row r="10" customFormat="false" ht="15" hidden="false" customHeight="false" outlineLevel="0" collapsed="false">
      <c r="A10" s="2" t="s">
        <v>31</v>
      </c>
      <c r="B10" s="2" t="s">
        <v>32</v>
      </c>
      <c r="C10" s="2" t="s">
        <v>33</v>
      </c>
      <c r="D10" s="3" t="s">
        <v>34</v>
      </c>
      <c r="E10" s="3" t="s">
        <v>35</v>
      </c>
      <c r="F10" s="4" t="n">
        <f aca="false">ROUND(9-LOG10(G10),2)</f>
        <v>4.05</v>
      </c>
      <c r="G10" s="5" t="n">
        <v>90000</v>
      </c>
    </row>
    <row r="11" customFormat="false" ht="57.45" hidden="false" customHeight="false" outlineLevel="0" collapsed="false">
      <c r="A11" s="2" t="s">
        <v>31</v>
      </c>
      <c r="B11" s="2" t="s">
        <v>32</v>
      </c>
      <c r="C11" s="2" t="s">
        <v>24</v>
      </c>
      <c r="D11" s="3" t="s">
        <v>25</v>
      </c>
      <c r="E11" s="3" t="s">
        <v>26</v>
      </c>
      <c r="F11" s="4" t="n">
        <f aca="false">ROUND(9-LOG10(G11),2)</f>
        <v>5.4</v>
      </c>
      <c r="G11" s="5" t="n">
        <v>4000</v>
      </c>
    </row>
    <row r="12" customFormat="false" ht="57.45" hidden="false" customHeight="false" outlineLevel="0" collapsed="false">
      <c r="A12" s="2" t="s">
        <v>36</v>
      </c>
      <c r="B12" s="2" t="s">
        <v>37</v>
      </c>
      <c r="C12" s="2" t="s">
        <v>38</v>
      </c>
      <c r="D12" s="3" t="s">
        <v>39</v>
      </c>
      <c r="E12" s="3" t="s">
        <v>40</v>
      </c>
      <c r="F12" s="4" t="n">
        <f aca="false">ROUND(9-LOG10(G12),2)</f>
        <v>2.22</v>
      </c>
      <c r="G12" s="5" t="n">
        <v>6000000</v>
      </c>
    </row>
    <row r="13" customFormat="false" ht="15" hidden="false" customHeight="false" outlineLevel="0" collapsed="false">
      <c r="A13" s="2" t="s">
        <v>41</v>
      </c>
      <c r="B13" s="2" t="s">
        <v>42</v>
      </c>
      <c r="C13" s="2" t="s">
        <v>43</v>
      </c>
      <c r="D13" s="3" t="s">
        <v>44</v>
      </c>
      <c r="E13" s="3" t="s">
        <v>45</v>
      </c>
      <c r="F13" s="4" t="n">
        <f aca="false">ROUND(9-LOG10(G13),2)</f>
        <v>2.82</v>
      </c>
      <c r="G13" s="5" t="n">
        <v>1500000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6" t="s">
        <v>46</v>
      </c>
    </row>
    <row r="2" customFormat="false" ht="15" hidden="false" customHeight="false" outlineLevel="0" collapsed="false">
      <c r="A2" s="7" t="s">
        <v>47</v>
      </c>
    </row>
    <row r="3" customFormat="false" ht="15" hidden="false" customHeight="false" outlineLevel="0" collapsed="false">
      <c r="A3" s="7" t="s">
        <v>48</v>
      </c>
    </row>
    <row r="4" customFormat="false" ht="35.05" hidden="false" customHeight="false" outlineLevel="0" collapsed="false">
      <c r="A4" s="7" t="s">
        <v>49</v>
      </c>
    </row>
    <row r="5" customFormat="false" ht="15" hidden="false" customHeight="false" outlineLevel="0" collapsed="false">
      <c r="A5" s="7" t="s">
        <v>50</v>
      </c>
    </row>
    <row r="6" customFormat="false" ht="23.85" hidden="false" customHeight="false" outlineLevel="0" collapsed="false">
      <c r="A6" s="7" t="s">
        <v>51</v>
      </c>
    </row>
    <row r="7" customFormat="false" ht="15" hidden="false" customHeight="false" outlineLevel="0" collapsed="false">
      <c r="A7" s="7" t="s">
        <v>52</v>
      </c>
    </row>
    <row r="8" customFormat="false" ht="15" hidden="false" customHeight="false" outlineLevel="0" collapsed="false">
      <c r="A8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2026-10-05T06:02:38Z</dcterms:created>
  <dc:creator>openpyxl</dc:creator>
  <dc:description/>
  <dc:language>en-US</dc:language>
  <cp:lastModifiedBy/>
  <dcterms:modified xsi:type="dcterms:W3CDTF">2026-10-05T06:02:38Z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